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er\gitremote\BareMetalMake\Stm32F103_Blue_Pill\MAKE\LCD_8bit\"/>
    </mc:Choice>
  </mc:AlternateContent>
  <xr:revisionPtr revIDLastSave="0" documentId="13_ncr:1_{B5C7E929-2A18-45B4-86D1-55FBB88F07B5}" xr6:coauthVersionLast="47" xr6:coauthVersionMax="47" xr10:uidLastSave="{00000000-0000-0000-0000-000000000000}"/>
  <bookViews>
    <workbookView xWindow="28680" yWindow="-25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F18" i="1"/>
  <c r="K19" i="1"/>
  <c r="K21" i="1"/>
  <c r="K22" i="1"/>
  <c r="F22" i="1"/>
  <c r="F21" i="1"/>
  <c r="F19" i="1"/>
</calcChain>
</file>

<file path=xl/sharedStrings.xml><?xml version="1.0" encoding="utf-8"?>
<sst xmlns="http://schemas.openxmlformats.org/spreadsheetml/2006/main" count="63" uniqueCount="58">
  <si>
    <t>CNF7</t>
  </si>
  <si>
    <t>CNF6</t>
  </si>
  <si>
    <t>CNF5</t>
  </si>
  <si>
    <t>CNF4</t>
  </si>
  <si>
    <t>CNF3</t>
  </si>
  <si>
    <t>CNF2</t>
  </si>
  <si>
    <t>CNF1</t>
  </si>
  <si>
    <t>CNF0</t>
  </si>
  <si>
    <t>MODE0</t>
  </si>
  <si>
    <t>MODE1</t>
  </si>
  <si>
    <t>MODE2</t>
  </si>
  <si>
    <t>MODE3</t>
  </si>
  <si>
    <t>MODE4</t>
  </si>
  <si>
    <t>MODE5</t>
  </si>
  <si>
    <t>MODE6</t>
  </si>
  <si>
    <t>MODE7</t>
  </si>
  <si>
    <t>CRL</t>
  </si>
  <si>
    <t>CRH</t>
  </si>
  <si>
    <t>CNF15</t>
  </si>
  <si>
    <t>MODE15</t>
  </si>
  <si>
    <t>CNF14</t>
  </si>
  <si>
    <t>MODE14</t>
  </si>
  <si>
    <t>CNF13</t>
  </si>
  <si>
    <t>MODE13</t>
  </si>
  <si>
    <t>CNF12</t>
  </si>
  <si>
    <t>MODE12</t>
  </si>
  <si>
    <t>CNF11</t>
  </si>
  <si>
    <t>MODE11</t>
  </si>
  <si>
    <t>CNF10</t>
  </si>
  <si>
    <t>MODE10</t>
  </si>
  <si>
    <t>CNF9</t>
  </si>
  <si>
    <t>MODE9</t>
  </si>
  <si>
    <t>CNF8</t>
  </si>
  <si>
    <t>MODE8</t>
  </si>
  <si>
    <t>PC</t>
  </si>
  <si>
    <t>PB</t>
  </si>
  <si>
    <t>PC_CRL</t>
  </si>
  <si>
    <t>PB_CRH</t>
  </si>
  <si>
    <t>Bin number to send to register</t>
  </si>
  <si>
    <t>Hex</t>
  </si>
  <si>
    <t>PC_BRL</t>
  </si>
  <si>
    <t>PB_BRH</t>
  </si>
  <si>
    <t xml:space="preserve">Command </t>
  </si>
  <si>
    <t>Description</t>
  </si>
  <si>
    <t>Clear Display</t>
  </si>
  <si>
    <t>Return Home</t>
  </si>
  <si>
    <t>0x01</t>
  </si>
  <si>
    <t>0x02</t>
  </si>
  <si>
    <t>Function Set</t>
  </si>
  <si>
    <t>data length 4/8 bit</t>
  </si>
  <si>
    <t>#of display lines</t>
  </si>
  <si>
    <t>Font 5x10 or 5x8</t>
  </si>
  <si>
    <t>don’t care</t>
  </si>
  <si>
    <t>Display on / off</t>
  </si>
  <si>
    <t>Cursor on/off</t>
  </si>
  <si>
    <t>Set display on/off</t>
  </si>
  <si>
    <t>Set blink on/off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</si>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</sst>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"/>
  <sheetViews>
    <sheetView tabSelected="1" workbookViewId="0">
      <selection activeCell="M23" sqref="M23"/>
    </sheetView>
  </sheetViews>
  <sheetFormatPr defaultRowHeight="15" x14ac:dyDescent="0.25"/>
  <cols>
    <col min="1" max="1" width="12.85546875" customWidth="1"/>
    <col min="2" max="2" width="11.140625" bestFit="1" customWidth="1"/>
  </cols>
  <sheetData>
    <row r="1" spans="1:33" x14ac:dyDescent="0.25">
      <c r="B1" s="4" t="s">
        <v>16</v>
      </c>
      <c r="C1" s="4"/>
    </row>
    <row r="2" spans="1:33" x14ac:dyDescent="0.25">
      <c r="B2" s="4" t="s">
        <v>0</v>
      </c>
      <c r="C2" s="4"/>
      <c r="D2" s="4" t="s">
        <v>15</v>
      </c>
      <c r="E2" s="4"/>
      <c r="F2" s="4" t="s">
        <v>1</v>
      </c>
      <c r="G2" s="4"/>
      <c r="H2" s="4" t="s">
        <v>14</v>
      </c>
      <c r="I2" s="4"/>
      <c r="J2" s="4" t="s">
        <v>2</v>
      </c>
      <c r="K2" s="4"/>
      <c r="L2" s="4" t="s">
        <v>13</v>
      </c>
      <c r="M2" s="4"/>
      <c r="N2" s="4" t="s">
        <v>3</v>
      </c>
      <c r="O2" s="4"/>
      <c r="P2" s="4" t="s">
        <v>12</v>
      </c>
      <c r="Q2" s="4"/>
      <c r="R2" s="4" t="s">
        <v>4</v>
      </c>
      <c r="S2" s="4"/>
      <c r="T2" s="4" t="s">
        <v>11</v>
      </c>
      <c r="U2" s="4"/>
      <c r="V2" s="4" t="s">
        <v>5</v>
      </c>
      <c r="W2" s="4"/>
      <c r="X2" s="4" t="s">
        <v>10</v>
      </c>
      <c r="Y2" s="4"/>
      <c r="Z2" s="4" t="s">
        <v>6</v>
      </c>
      <c r="AA2" s="4"/>
      <c r="AB2" s="4" t="s">
        <v>9</v>
      </c>
      <c r="AC2" s="4"/>
      <c r="AD2" s="4" t="s">
        <v>7</v>
      </c>
      <c r="AE2" s="4"/>
      <c r="AF2" s="4" t="s">
        <v>8</v>
      </c>
      <c r="AG2" s="4"/>
    </row>
    <row r="3" spans="1:33" s="3" customFormat="1" x14ac:dyDescent="0.25">
      <c r="B3" s="1">
        <v>31</v>
      </c>
      <c r="C3" s="1">
        <v>30</v>
      </c>
      <c r="D3" s="2">
        <v>29</v>
      </c>
      <c r="E3" s="2">
        <v>28</v>
      </c>
      <c r="F3" s="1">
        <v>27</v>
      </c>
      <c r="G3" s="1">
        <v>26</v>
      </c>
      <c r="H3" s="2">
        <v>25</v>
      </c>
      <c r="I3" s="2">
        <v>24</v>
      </c>
      <c r="J3" s="1">
        <v>23</v>
      </c>
      <c r="K3" s="1">
        <v>22</v>
      </c>
      <c r="L3" s="2">
        <v>21</v>
      </c>
      <c r="M3" s="2">
        <v>20</v>
      </c>
      <c r="N3" s="1">
        <v>19</v>
      </c>
      <c r="O3" s="1">
        <v>18</v>
      </c>
      <c r="P3" s="2">
        <v>17</v>
      </c>
      <c r="Q3" s="2">
        <v>16</v>
      </c>
      <c r="R3" s="1">
        <v>15</v>
      </c>
      <c r="S3" s="1">
        <v>14</v>
      </c>
      <c r="T3" s="2">
        <v>13</v>
      </c>
      <c r="U3" s="2">
        <v>12</v>
      </c>
      <c r="V3" s="1">
        <v>11</v>
      </c>
      <c r="W3" s="1">
        <v>10</v>
      </c>
      <c r="X3" s="2">
        <v>9</v>
      </c>
      <c r="Y3" s="2">
        <v>8</v>
      </c>
      <c r="Z3" s="1">
        <v>7</v>
      </c>
      <c r="AA3" s="1">
        <v>6</v>
      </c>
      <c r="AB3" s="2">
        <v>5</v>
      </c>
      <c r="AC3" s="2">
        <v>4</v>
      </c>
      <c r="AD3" s="1">
        <v>3</v>
      </c>
      <c r="AE3" s="1">
        <v>2</v>
      </c>
      <c r="AF3" s="2">
        <v>1</v>
      </c>
      <c r="AG3" s="2">
        <v>0</v>
      </c>
    </row>
    <row r="4" spans="1:33" x14ac:dyDescent="0.25">
      <c r="A4" t="s">
        <v>34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1</v>
      </c>
      <c r="J4" s="3">
        <v>0</v>
      </c>
      <c r="K4" s="3">
        <v>0</v>
      </c>
      <c r="L4" s="3">
        <v>1</v>
      </c>
      <c r="M4" s="3">
        <v>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spans="1:33" x14ac:dyDescent="0.25">
      <c r="A5" t="s">
        <v>35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9" spans="1:33" x14ac:dyDescent="0.25">
      <c r="B9" s="4" t="s">
        <v>17</v>
      </c>
      <c r="C9" s="4"/>
    </row>
    <row r="10" spans="1:33" x14ac:dyDescent="0.25">
      <c r="B10" s="4" t="s">
        <v>18</v>
      </c>
      <c r="C10" s="4"/>
      <c r="D10" s="4" t="s">
        <v>19</v>
      </c>
      <c r="E10" s="4"/>
      <c r="F10" s="4" t="s">
        <v>20</v>
      </c>
      <c r="G10" s="4"/>
      <c r="H10" s="4" t="s">
        <v>21</v>
      </c>
      <c r="I10" s="4"/>
      <c r="J10" s="4" t="s">
        <v>22</v>
      </c>
      <c r="K10" s="4"/>
      <c r="L10" s="4" t="s">
        <v>23</v>
      </c>
      <c r="M10" s="4"/>
      <c r="N10" s="4" t="s">
        <v>24</v>
      </c>
      <c r="O10" s="4"/>
      <c r="P10" s="4" t="s">
        <v>25</v>
      </c>
      <c r="Q10" s="4"/>
      <c r="R10" s="4" t="s">
        <v>26</v>
      </c>
      <c r="S10" s="4"/>
      <c r="T10" s="4" t="s">
        <v>27</v>
      </c>
      <c r="U10" s="4"/>
      <c r="V10" s="4" t="s">
        <v>28</v>
      </c>
      <c r="W10" s="4"/>
      <c r="X10" s="4" t="s">
        <v>29</v>
      </c>
      <c r="Y10" s="4"/>
      <c r="Z10" s="4" t="s">
        <v>30</v>
      </c>
      <c r="AA10" s="4"/>
      <c r="AB10" s="4" t="s">
        <v>31</v>
      </c>
      <c r="AC10" s="4"/>
      <c r="AD10" s="4" t="s">
        <v>32</v>
      </c>
      <c r="AE10" s="4"/>
      <c r="AF10" s="4" t="s">
        <v>33</v>
      </c>
      <c r="AG10" s="4"/>
    </row>
    <row r="11" spans="1:33" s="3" customFormat="1" x14ac:dyDescent="0.25">
      <c r="B11" s="1">
        <v>31</v>
      </c>
      <c r="C11" s="1">
        <v>30</v>
      </c>
      <c r="D11" s="2">
        <v>29</v>
      </c>
      <c r="E11" s="2">
        <v>28</v>
      </c>
      <c r="F11" s="1">
        <v>27</v>
      </c>
      <c r="G11" s="1">
        <v>26</v>
      </c>
      <c r="H11" s="2">
        <v>25</v>
      </c>
      <c r="I11" s="2">
        <v>24</v>
      </c>
      <c r="J11" s="1">
        <v>23</v>
      </c>
      <c r="K11" s="1">
        <v>22</v>
      </c>
      <c r="L11" s="2">
        <v>21</v>
      </c>
      <c r="M11" s="2">
        <v>20</v>
      </c>
      <c r="N11" s="1">
        <v>19</v>
      </c>
      <c r="O11" s="1">
        <v>18</v>
      </c>
      <c r="P11" s="2">
        <v>17</v>
      </c>
      <c r="Q11" s="2">
        <v>16</v>
      </c>
      <c r="R11" s="1">
        <v>15</v>
      </c>
      <c r="S11" s="1">
        <v>14</v>
      </c>
      <c r="T11" s="2">
        <v>13</v>
      </c>
      <c r="U11" s="2">
        <v>12</v>
      </c>
      <c r="V11" s="1">
        <v>11</v>
      </c>
      <c r="W11" s="1">
        <v>10</v>
      </c>
      <c r="X11" s="2">
        <v>9</v>
      </c>
      <c r="Y11" s="2">
        <v>8</v>
      </c>
      <c r="Z11" s="1">
        <v>7</v>
      </c>
      <c r="AA11" s="1">
        <v>6</v>
      </c>
      <c r="AB11" s="2">
        <v>5</v>
      </c>
      <c r="AC11" s="2">
        <v>4</v>
      </c>
      <c r="AD11" s="1">
        <v>3</v>
      </c>
      <c r="AE11" s="1">
        <v>2</v>
      </c>
      <c r="AF11" s="2">
        <v>1</v>
      </c>
      <c r="AG11" s="2">
        <v>0</v>
      </c>
    </row>
    <row r="12" spans="1:33" x14ac:dyDescent="0.25">
      <c r="A12" t="s">
        <v>34</v>
      </c>
      <c r="B12" s="3">
        <v>0</v>
      </c>
      <c r="C12" s="3">
        <v>0</v>
      </c>
      <c r="D12" s="3">
        <v>1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 x14ac:dyDescent="0.25">
      <c r="A13" t="s">
        <v>35</v>
      </c>
      <c r="B13" s="3">
        <v>0</v>
      </c>
      <c r="C13" s="3">
        <v>0</v>
      </c>
      <c r="D13" s="3">
        <v>1</v>
      </c>
      <c r="E13" s="3">
        <v>1</v>
      </c>
      <c r="F13" s="3">
        <v>0</v>
      </c>
      <c r="G13" s="3">
        <v>0</v>
      </c>
      <c r="H13" s="3">
        <v>1</v>
      </c>
      <c r="I13" s="3">
        <v>1</v>
      </c>
      <c r="J13" s="3">
        <v>0</v>
      </c>
      <c r="K13" s="3">
        <v>0</v>
      </c>
      <c r="L13" s="3">
        <v>1</v>
      </c>
      <c r="M13" s="3">
        <v>1</v>
      </c>
      <c r="N13" s="3">
        <v>0</v>
      </c>
      <c r="O13" s="3">
        <v>0</v>
      </c>
      <c r="P13" s="3">
        <v>1</v>
      </c>
      <c r="Q13" s="3">
        <v>1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0</v>
      </c>
      <c r="X13" s="3">
        <v>1</v>
      </c>
      <c r="Y13" s="3">
        <v>1</v>
      </c>
      <c r="Z13" s="3">
        <v>0</v>
      </c>
      <c r="AA13" s="3">
        <v>0</v>
      </c>
      <c r="AB13" s="3">
        <v>1</v>
      </c>
      <c r="AC13" s="3">
        <v>1</v>
      </c>
      <c r="AD13" s="3">
        <v>0</v>
      </c>
      <c r="AE13" s="3">
        <v>0</v>
      </c>
      <c r="AF13" s="3">
        <v>1</v>
      </c>
      <c r="AG13" s="3">
        <v>1</v>
      </c>
    </row>
    <row r="17" spans="1:17" x14ac:dyDescent="0.25">
      <c r="K17" s="3" t="s">
        <v>39</v>
      </c>
    </row>
    <row r="18" spans="1:17" x14ac:dyDescent="0.25">
      <c r="E18" t="s">
        <v>36</v>
      </c>
      <c r="F18" s="4" t="str">
        <f>_xlfn.CONCAT(B4:AG4)</f>
        <v>00000011001100000000000000000000</v>
      </c>
      <c r="G18" s="4"/>
      <c r="H18" s="4"/>
      <c r="I18" s="4"/>
      <c r="J18" s="4"/>
      <c r="K18" t="str">
        <f>DEC2HEX(_xlfn.DECIMAL(_xlfn.CONCAT(B4:AG4), 2))</f>
        <v>3300000</v>
      </c>
    </row>
    <row r="19" spans="1:17" x14ac:dyDescent="0.25">
      <c r="E19" t="s">
        <v>40</v>
      </c>
      <c r="F19" s="4" t="str">
        <f>_xlfn.CONCAT(B5:AG5)</f>
        <v/>
      </c>
      <c r="G19" s="4"/>
      <c r="H19" s="4"/>
      <c r="I19" s="4"/>
      <c r="J19" s="4"/>
      <c r="K19" t="e">
        <f>DEC2HEX(_xlfn.DECIMAL(_xlfn.CONCAT(B10:AG10), 2))</f>
        <v>#NUM!</v>
      </c>
    </row>
    <row r="20" spans="1:17" x14ac:dyDescent="0.25">
      <c r="F20" s="4" t="s">
        <v>38</v>
      </c>
      <c r="G20" s="4"/>
      <c r="H20" s="4"/>
      <c r="I20" s="4"/>
      <c r="J20" s="4"/>
      <c r="K20" s="3" t="s">
        <v>39</v>
      </c>
    </row>
    <row r="21" spans="1:17" x14ac:dyDescent="0.25">
      <c r="E21" t="s">
        <v>37</v>
      </c>
      <c r="F21" s="4" t="str">
        <f>_xlfn.CONCAT(B12:AG12)</f>
        <v>00110000000000000000000000000000</v>
      </c>
      <c r="G21" s="4"/>
      <c r="H21" s="4"/>
      <c r="I21" s="4"/>
      <c r="J21" s="4"/>
      <c r="K21" t="str">
        <f>DEC2HEX(_xlfn.DECIMAL(_xlfn.CONCAT(B12:AG12), 2))</f>
        <v>30000000</v>
      </c>
    </row>
    <row r="22" spans="1:17" x14ac:dyDescent="0.25">
      <c r="E22" t="s">
        <v>41</v>
      </c>
      <c r="F22" s="4" t="str">
        <f>_xlfn.CONCAT(B13:AG13)</f>
        <v>00110011001100110011001100110011</v>
      </c>
      <c r="G22" s="4"/>
      <c r="H22" s="4"/>
      <c r="I22" s="4"/>
      <c r="J22" s="4"/>
      <c r="K22" t="str">
        <f>DEC2HEX(_xlfn.DECIMAL(_xlfn.CONCAT(B13:AG13), 2))</f>
        <v>33333333</v>
      </c>
    </row>
    <row r="23" spans="1:17" x14ac:dyDescent="0.25">
      <c r="A23" t="s">
        <v>42</v>
      </c>
      <c r="B23" t="s">
        <v>43</v>
      </c>
    </row>
    <row r="24" spans="1:17" x14ac:dyDescent="0.25">
      <c r="A24" t="s">
        <v>44</v>
      </c>
      <c r="B24" t="s">
        <v>46</v>
      </c>
    </row>
    <row r="25" spans="1:17" x14ac:dyDescent="0.25">
      <c r="A25" t="s">
        <v>45</v>
      </c>
      <c r="B25" t="s">
        <v>47</v>
      </c>
    </row>
    <row r="26" spans="1:17" x14ac:dyDescent="0.25">
      <c r="F26" s="4"/>
      <c r="G26" s="4"/>
      <c r="H26" s="4" t="s">
        <v>49</v>
      </c>
      <c r="I26" s="4"/>
      <c r="J26" s="4" t="s">
        <v>50</v>
      </c>
      <c r="K26" s="4"/>
      <c r="L26" s="4" t="s">
        <v>51</v>
      </c>
      <c r="M26" s="4"/>
      <c r="N26" s="4" t="s">
        <v>52</v>
      </c>
      <c r="O26" s="4"/>
      <c r="P26" s="4" t="s">
        <v>52</v>
      </c>
      <c r="Q26" s="4"/>
    </row>
    <row r="27" spans="1:17" x14ac:dyDescent="0.25">
      <c r="A27" t="s">
        <v>48</v>
      </c>
      <c r="B27">
        <v>0</v>
      </c>
      <c r="C27">
        <v>0</v>
      </c>
      <c r="D27">
        <v>0</v>
      </c>
      <c r="E27">
        <v>0</v>
      </c>
      <c r="F27" s="4">
        <v>1</v>
      </c>
      <c r="G27" s="4"/>
      <c r="H27" s="4">
        <v>0</v>
      </c>
      <c r="I27" s="4"/>
      <c r="J27" s="4">
        <v>0</v>
      </c>
      <c r="K27" s="4"/>
      <c r="L27" s="4">
        <v>1</v>
      </c>
      <c r="M27" s="4"/>
      <c r="N27" s="4" t="s">
        <v>57</v>
      </c>
      <c r="O27" s="4"/>
      <c r="P27" s="4" t="s">
        <v>57</v>
      </c>
      <c r="Q27" s="4"/>
    </row>
    <row r="28" spans="1:17" x14ac:dyDescent="0.25">
      <c r="F28" s="4"/>
      <c r="G28" s="4"/>
      <c r="H28" s="4"/>
      <c r="I28" s="4"/>
      <c r="J28" s="4"/>
      <c r="K28" s="4"/>
      <c r="L28" s="4" t="s">
        <v>55</v>
      </c>
      <c r="M28" s="4"/>
      <c r="N28" s="4" t="s">
        <v>54</v>
      </c>
      <c r="O28" s="4"/>
      <c r="P28" s="4" t="s">
        <v>56</v>
      </c>
      <c r="Q28" s="4"/>
    </row>
    <row r="29" spans="1:17" x14ac:dyDescent="0.25">
      <c r="A29" t="s">
        <v>53</v>
      </c>
      <c r="B29">
        <v>0</v>
      </c>
      <c r="C29">
        <v>0</v>
      </c>
      <c r="D29">
        <v>0</v>
      </c>
      <c r="E29">
        <v>0</v>
      </c>
      <c r="F29" s="4">
        <v>0</v>
      </c>
      <c r="G29" s="4"/>
      <c r="H29" s="4">
        <v>0</v>
      </c>
      <c r="I29" s="4"/>
      <c r="J29" s="4">
        <v>1</v>
      </c>
      <c r="K29" s="4"/>
      <c r="L29" s="4">
        <v>0</v>
      </c>
      <c r="M29" s="4"/>
      <c r="N29" s="4">
        <v>0</v>
      </c>
      <c r="O29" s="4"/>
      <c r="P29" s="4">
        <v>0</v>
      </c>
      <c r="Q29" s="4"/>
    </row>
  </sheetData>
  <mergeCells count="63">
    <mergeCell ref="P26:Q26"/>
    <mergeCell ref="N26:O26"/>
    <mergeCell ref="L26:M26"/>
    <mergeCell ref="L27:M27"/>
    <mergeCell ref="N27:O27"/>
    <mergeCell ref="P27:Q27"/>
    <mergeCell ref="L28:M28"/>
    <mergeCell ref="N28:O28"/>
    <mergeCell ref="P28:Q28"/>
    <mergeCell ref="L29:M29"/>
    <mergeCell ref="N29:O29"/>
    <mergeCell ref="P29:Q29"/>
    <mergeCell ref="F28:G28"/>
    <mergeCell ref="H28:I28"/>
    <mergeCell ref="J28:K28"/>
    <mergeCell ref="F29:G29"/>
    <mergeCell ref="H29:I29"/>
    <mergeCell ref="J29:K29"/>
    <mergeCell ref="F21:J21"/>
    <mergeCell ref="F22:J22"/>
    <mergeCell ref="F20:J20"/>
    <mergeCell ref="F26:G26"/>
    <mergeCell ref="F27:G27"/>
    <mergeCell ref="H26:I26"/>
    <mergeCell ref="H27:I27"/>
    <mergeCell ref="J26:K26"/>
    <mergeCell ref="J27:K27"/>
    <mergeCell ref="Z10:AA10"/>
    <mergeCell ref="AB10:AC10"/>
    <mergeCell ref="AD10:AE10"/>
    <mergeCell ref="AF10:AG10"/>
    <mergeCell ref="F18:J18"/>
    <mergeCell ref="F19:J19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H2:I2"/>
    <mergeCell ref="F2:G2"/>
    <mergeCell ref="D2:E2"/>
    <mergeCell ref="B2:C2"/>
    <mergeCell ref="B1:C1"/>
    <mergeCell ref="B9:C9"/>
    <mergeCell ref="T2:U2"/>
    <mergeCell ref="R2:S2"/>
    <mergeCell ref="P2:Q2"/>
    <mergeCell ref="N2:O2"/>
    <mergeCell ref="L2:M2"/>
    <mergeCell ref="J2:K2"/>
    <mergeCell ref="AF2:AG2"/>
    <mergeCell ref="AD2:AE2"/>
    <mergeCell ref="AB2:AC2"/>
    <mergeCell ref="Z2:AA2"/>
    <mergeCell ref="X2:Y2"/>
    <mergeCell ref="V2:W2"/>
  </mergeCells>
  <pageMargins left="0.7" right="0.7" top="0.75" bottom="0.75" header="0.3" footer="0.3"/>
  <headerFooter>
    <oddFooter>&amp;L_x000D_&amp;1#&amp;"Arial"&amp;7&amp;KDAD4CE Public</oddFooter>
  </headerFooter>
</worksheet>
</file>

<file path=docMetadata/LabelInfo.xml><?xml version="1.0" encoding="utf-8"?>
<clbl:labelList xmlns:clbl="http://schemas.microsoft.com/office/2020/mipLabelMetadata">
  <clbl:label id="{4d12be1c-d27c-4ec9-b239-ad171082eb1d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Donnelly, Gerard</dc:creator>
  <cp:lastModifiedBy>Donnelly, Gerard</cp:lastModifiedBy>
  <dcterms:created xsi:type="dcterms:W3CDTF">2015-06-05T18:17:20Z</dcterms:created>
  <dcterms:modified xsi:type="dcterms:W3CDTF">2025-11-28T21:30:48Z</dcterms:modified>
</cp:coreProperties>
</file>